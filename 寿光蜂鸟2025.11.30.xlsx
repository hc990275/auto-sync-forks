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<sst xmlns="http://schemas.openxmlformats.org/spreadsheetml/2006/main" count="89" uniqueCount="52">
  <si>
    <t>财务表-寿光锋鸟- 2025/11/30</t>
  </si>
  <si>
    <t>日  期</t>
  </si>
  <si>
    <t>用途</t>
  </si>
  <si>
    <t>收入</t>
  </si>
  <si>
    <t>支出</t>
  </si>
  <si>
    <t>共收入</t>
  </si>
  <si>
    <t>共支出</t>
  </si>
  <si>
    <t>结余</t>
  </si>
  <si>
    <t>备注</t>
  </si>
  <si>
    <t>明细一</t>
  </si>
  <si>
    <t>明细二</t>
  </si>
  <si>
    <t>用于</t>
  </si>
  <si>
    <t>定金</t>
  </si>
  <si>
    <t>定金日期</t>
  </si>
  <si>
    <t>尾款</t>
  </si>
  <si>
    <t>尾款日期</t>
  </si>
  <si>
    <t>进货</t>
  </si>
  <si>
    <t>MK2-42A</t>
  </si>
  <si>
    <t>丛培记</t>
  </si>
  <si>
    <t>赛博54A</t>
  </si>
  <si>
    <t>老胡</t>
  </si>
  <si>
    <t>4200+1300+200</t>
  </si>
  <si>
    <t>赛博45A-灰色</t>
  </si>
  <si>
    <t>房租</t>
  </si>
  <si>
    <t>驿站</t>
  </si>
  <si>
    <t>屋内设施</t>
  </si>
  <si>
    <t>空调桌子等</t>
  </si>
  <si>
    <t>水池</t>
  </si>
  <si>
    <t>宽带</t>
  </si>
  <si>
    <t>100宽带+50话费</t>
  </si>
  <si>
    <t>灯箱</t>
  </si>
  <si>
    <t>室内三块+门头灯箱</t>
  </si>
  <si>
    <t>纱窗</t>
  </si>
  <si>
    <t>GT.54A.暗夜蓝.低磅</t>
  </si>
  <si>
    <t>刘伟斌</t>
  </si>
  <si>
    <t>实缴5799，反500现金</t>
  </si>
  <si>
    <t>GT.54A.幻境银.高磅</t>
  </si>
  <si>
    <t>王仁杰</t>
  </si>
  <si>
    <t>GT.54A.星际蓝.低磅</t>
  </si>
  <si>
    <t>李京波</t>
  </si>
  <si>
    <t>水卡</t>
  </si>
  <si>
    <t>GT.54A.装甲绿.高磅</t>
  </si>
  <si>
    <t>刘通</t>
  </si>
  <si>
    <t>实缴5799，反200包月保险2025.10.26</t>
  </si>
  <si>
    <t>电费</t>
  </si>
  <si>
    <t>未出</t>
  </si>
  <si>
    <t>赛博54A换Neo</t>
  </si>
  <si>
    <t>韩江</t>
  </si>
  <si>
    <t>赛博54A（换了一辆54AGT）</t>
  </si>
  <si>
    <t>朋克42A灰标准低磅</t>
  </si>
  <si>
    <t>庞宁</t>
  </si>
  <si>
    <t>合  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</si>
</sst>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  <numFmt numFmtId="177" formatCode="yyyy&quot;年&quot;m&quot;月&quot;d&quot;日&quot;;@"/>
  </numFmts>
  <fonts count="27">
    <font>
      <sz val="11"/>
      <color theme="1"/>
      <name val="宋体"/>
      <charset val="134"/>
      <scheme val="minor"/>
    </font>
    <font>
      <b/>
      <sz val="22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theme="0"/>
      <name val="微软雅黑"/>
      <charset val="134"/>
    </font>
    <font>
      <sz val="10"/>
      <color theme="1"/>
      <name val="微软雅黑"/>
      <charset val="134"/>
    </font>
    <font>
      <sz val="11"/>
      <name val="黑体"/>
      <charset val="134"/>
    </font>
    <font>
      <b/>
      <sz val="12"/>
      <color theme="1"/>
      <name val="微软雅黑"/>
      <charset val="134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85652"/>
        <bgColor indexed="64"/>
      </patternFill>
    </fill>
    <fill>
      <patternFill patternType="solid">
        <fgColor rgb="FFF6F5F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/>
      <right/>
      <top style="medium">
        <color auto="1"/>
      </top>
      <bottom/>
      <diagonal/>
    </border>
    <border>
      <left style="thin">
        <color theme="0" tint="-0.25"/>
      </left>
      <right/>
      <top style="medium">
        <color auto="1"/>
      </top>
      <bottom style="thin">
        <color theme="0" tint="-0.25"/>
      </bottom>
      <diagonal/>
    </border>
    <border>
      <left/>
      <right/>
      <top style="medium">
        <color auto="1"/>
      </top>
      <bottom style="thin">
        <color theme="0" tint="-0.25"/>
      </bottom>
      <diagonal/>
    </border>
    <border>
      <left/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medium">
        <color auto="1"/>
      </top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medium">
        <color auto="1"/>
      </top>
      <bottom style="thin">
        <color theme="0" tint="-0.25"/>
      </bottom>
      <diagonal/>
    </border>
    <border>
      <left style="medium">
        <color auto="1"/>
      </left>
      <right/>
      <top style="thin">
        <color theme="0" tint="-0.25"/>
      </top>
      <bottom/>
      <diagonal/>
    </border>
    <border>
      <left style="thin">
        <color auto="1"/>
      </left>
      <right style="thin">
        <color theme="0" tint="-0.25"/>
      </right>
      <top style="thin">
        <color theme="0"/>
      </top>
      <bottom/>
      <diagonal/>
    </border>
    <border>
      <left/>
      <right style="thin">
        <color auto="1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theme="0" tint="-0.25"/>
      </left>
      <right style="medium">
        <color auto="1"/>
      </right>
      <top style="thin">
        <color theme="0" tint="-0.25"/>
      </top>
      <bottom style="thin">
        <color theme="0" tint="-0.25"/>
      </bottom>
      <diagonal/>
    </border>
    <border>
      <left style="thin">
        <color auto="1"/>
      </left>
      <right style="thin">
        <color auto="1"/>
      </right>
      <top style="thin">
        <color theme="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0" tint="-0.25"/>
      </left>
      <right style="thin">
        <color theme="0" tint="-0.25"/>
      </right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 style="thin">
        <color theme="0" tint="-0.25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0" tint="-0.25"/>
      </left>
      <right style="thin">
        <color theme="0" tint="-0.25"/>
      </right>
      <top/>
      <bottom style="medium">
        <color auto="1"/>
      </bottom>
      <diagonal/>
    </border>
    <border>
      <left style="thin">
        <color theme="0" tint="-0.25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6" borderId="30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1" applyNumberFormat="0" applyFill="0" applyAlignment="0" applyProtection="0">
      <alignment vertical="center"/>
    </xf>
    <xf numFmtId="0" fontId="14" fillId="0" borderId="31" applyNumberFormat="0" applyFill="0" applyAlignment="0" applyProtection="0">
      <alignment vertical="center"/>
    </xf>
    <xf numFmtId="0" fontId="15" fillId="0" borderId="32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33" applyNumberFormat="0" applyAlignment="0" applyProtection="0">
      <alignment vertical="center"/>
    </xf>
    <xf numFmtId="0" fontId="17" fillId="8" borderId="34" applyNumberFormat="0" applyAlignment="0" applyProtection="0">
      <alignment vertical="center"/>
    </xf>
    <xf numFmtId="0" fontId="18" fillId="8" borderId="33" applyNumberFormat="0" applyAlignment="0" applyProtection="0">
      <alignment vertical="center"/>
    </xf>
    <xf numFmtId="0" fontId="19" fillId="9" borderId="35" applyNumberFormat="0" applyAlignment="0" applyProtection="0">
      <alignment vertical="center"/>
    </xf>
    <xf numFmtId="0" fontId="20" fillId="0" borderId="36" applyNumberFormat="0" applyFill="0" applyAlignment="0" applyProtection="0">
      <alignment vertical="center"/>
    </xf>
    <xf numFmtId="0" fontId="21" fillId="0" borderId="37" applyNumberFormat="0" applyFill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0" fillId="2" borderId="0" xfId="0" applyFont="1" applyFill="1">
      <alignment vertical="center"/>
    </xf>
    <xf numFmtId="176" fontId="1" fillId="2" borderId="0" xfId="0" applyNumberFormat="1" applyFont="1" applyFill="1" applyAlignment="1" applyProtection="1">
      <alignment horizontal="center" vertical="center"/>
    </xf>
    <xf numFmtId="176" fontId="2" fillId="3" borderId="1" xfId="0" applyNumberFormat="1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3" fillId="3" borderId="3" xfId="0" applyFont="1" applyFill="1" applyBorder="1" applyAlignment="1" applyProtection="1">
      <alignment horizontal="center" vertical="center"/>
    </xf>
    <xf numFmtId="0" fontId="3" fillId="3" borderId="4" xfId="0" applyFont="1" applyFill="1" applyBorder="1" applyAlignment="1" applyProtection="1">
      <alignment horizontal="center" vertical="center"/>
    </xf>
    <xf numFmtId="0" fontId="3" fillId="3" borderId="5" xfId="0" applyFont="1" applyFill="1" applyBorder="1" applyAlignment="1" applyProtection="1">
      <alignment horizontal="center" vertical="center"/>
    </xf>
    <xf numFmtId="0" fontId="3" fillId="3" borderId="6" xfId="0" applyFont="1" applyFill="1" applyBorder="1" applyAlignment="1" applyProtection="1">
      <alignment horizontal="center" vertical="center"/>
    </xf>
    <xf numFmtId="0" fontId="3" fillId="3" borderId="7" xfId="0" applyFont="1" applyFill="1" applyBorder="1" applyAlignment="1" applyProtection="1">
      <alignment horizontal="center" vertical="center" wrapText="1"/>
    </xf>
    <xf numFmtId="176" fontId="2" fillId="3" borderId="8" xfId="0" applyNumberFormat="1" applyFont="1" applyFill="1" applyBorder="1" applyAlignment="1" applyProtection="1">
      <alignment horizontal="center" vertical="center"/>
    </xf>
    <xf numFmtId="0" fontId="3" fillId="3" borderId="9" xfId="0" applyFont="1" applyFill="1" applyBorder="1" applyAlignment="1" applyProtection="1">
      <alignment horizontal="center" vertical="center"/>
    </xf>
    <xf numFmtId="0" fontId="3" fillId="3" borderId="10" xfId="0" applyFont="1" applyFill="1" applyBorder="1" applyAlignment="1" applyProtection="1">
      <alignment horizontal="center" vertical="center"/>
    </xf>
    <xf numFmtId="0" fontId="3" fillId="3" borderId="11" xfId="0" applyFont="1" applyFill="1" applyBorder="1" applyAlignment="1" applyProtection="1">
      <alignment horizontal="center" vertical="center"/>
    </xf>
    <xf numFmtId="0" fontId="3" fillId="3" borderId="12" xfId="0" applyFont="1" applyFill="1" applyBorder="1" applyAlignment="1" applyProtection="1">
      <alignment horizontal="center" vertical="center"/>
    </xf>
    <xf numFmtId="0" fontId="3" fillId="3" borderId="13" xfId="0" applyFont="1" applyFill="1" applyBorder="1" applyAlignment="1" applyProtection="1">
      <alignment horizontal="center" vertical="center"/>
    </xf>
    <xf numFmtId="0" fontId="3" fillId="3" borderId="13" xfId="0" applyFont="1" applyFill="1" applyBorder="1" applyAlignment="1" applyProtection="1">
      <alignment horizontal="center" vertical="center" wrapText="1"/>
    </xf>
    <xf numFmtId="0" fontId="3" fillId="3" borderId="14" xfId="0" applyFont="1" applyFill="1" applyBorder="1" applyAlignment="1" applyProtection="1">
      <alignment horizontal="center" vertical="center" wrapText="1"/>
    </xf>
    <xf numFmtId="177" fontId="4" fillId="2" borderId="15" xfId="0" applyNumberFormat="1" applyFont="1" applyFill="1" applyBorder="1" applyAlignment="1">
      <alignment horizontal="center" vertical="center"/>
    </xf>
    <xf numFmtId="7" fontId="4" fillId="2" borderId="15" xfId="0" applyNumberFormat="1" applyFont="1" applyFill="1" applyBorder="1" applyAlignment="1" applyProtection="1">
      <alignment horizontal="center" vertical="center"/>
    </xf>
    <xf numFmtId="0" fontId="5" fillId="0" borderId="16" xfId="0" applyFont="1" applyFill="1" applyBorder="1" applyAlignment="1">
      <alignment horizontal="center" vertical="center"/>
    </xf>
    <xf numFmtId="44" fontId="5" fillId="0" borderId="16" xfId="0" applyNumberFormat="1" applyFont="1" applyFill="1" applyBorder="1" applyAlignment="1">
      <alignment horizontal="center" vertical="center"/>
    </xf>
    <xf numFmtId="7" fontId="4" fillId="2" borderId="12" xfId="0" applyNumberFormat="1" applyFont="1" applyFill="1" applyBorder="1" applyAlignment="1" applyProtection="1">
      <alignment horizontal="center" vertical="center"/>
    </xf>
    <xf numFmtId="177" fontId="4" fillId="2" borderId="16" xfId="0" applyNumberFormat="1" applyFont="1" applyFill="1" applyBorder="1" applyAlignment="1">
      <alignment horizontal="center" vertical="center"/>
    </xf>
    <xf numFmtId="7" fontId="4" fillId="2" borderId="13" xfId="0" applyNumberFormat="1" applyFont="1" applyFill="1" applyBorder="1" applyAlignment="1" applyProtection="1">
      <alignment horizontal="center" vertical="center"/>
    </xf>
    <xf numFmtId="0" fontId="4" fillId="2" borderId="14" xfId="0" applyNumberFormat="1" applyFont="1" applyFill="1" applyBorder="1" applyAlignment="1" applyProtection="1">
      <alignment horizontal="center" vertical="center" wrapText="1"/>
    </xf>
    <xf numFmtId="7" fontId="4" fillId="4" borderId="16" xfId="0" applyNumberFormat="1" applyFont="1" applyFill="1" applyBorder="1" applyAlignment="1" applyProtection="1">
      <alignment horizontal="center" vertical="center"/>
    </xf>
    <xf numFmtId="7" fontId="4" fillId="4" borderId="12" xfId="0" applyNumberFormat="1" applyFont="1" applyFill="1" applyBorder="1" applyAlignment="1" applyProtection="1">
      <alignment horizontal="center" vertical="center"/>
    </xf>
    <xf numFmtId="7" fontId="4" fillId="4" borderId="13" xfId="0" applyNumberFormat="1" applyFont="1" applyFill="1" applyBorder="1" applyAlignment="1" applyProtection="1">
      <alignment horizontal="center" vertical="center"/>
    </xf>
    <xf numFmtId="0" fontId="4" fillId="4" borderId="14" xfId="0" applyNumberFormat="1" applyFont="1" applyFill="1" applyBorder="1" applyAlignment="1" applyProtection="1">
      <alignment horizontal="center" vertical="center" wrapText="1"/>
    </xf>
    <xf numFmtId="7" fontId="4" fillId="2" borderId="16" xfId="0" applyNumberFormat="1" applyFont="1" applyFill="1" applyBorder="1" applyAlignment="1" applyProtection="1">
      <alignment horizontal="center" vertical="center"/>
    </xf>
    <xf numFmtId="7" fontId="4" fillId="5" borderId="13" xfId="0" applyNumberFormat="1" applyFont="1" applyFill="1" applyBorder="1" applyAlignment="1" applyProtection="1">
      <alignment horizontal="center" vertical="center"/>
    </xf>
    <xf numFmtId="177" fontId="4" fillId="5" borderId="15" xfId="0" applyNumberFormat="1" applyFont="1" applyFill="1" applyBorder="1" applyAlignment="1">
      <alignment horizontal="center" vertical="center"/>
    </xf>
    <xf numFmtId="177" fontId="4" fillId="5" borderId="16" xfId="0" applyNumberFormat="1" applyFont="1" applyFill="1" applyBorder="1" applyAlignment="1">
      <alignment horizontal="center" vertical="center"/>
    </xf>
    <xf numFmtId="0" fontId="4" fillId="5" borderId="14" xfId="0" applyNumberFormat="1" applyFont="1" applyFill="1" applyBorder="1" applyAlignment="1" applyProtection="1">
      <alignment horizontal="center" vertical="center" wrapText="1"/>
    </xf>
    <xf numFmtId="176" fontId="6" fillId="2" borderId="17" xfId="0" applyNumberFormat="1" applyFont="1" applyFill="1" applyBorder="1" applyAlignment="1" applyProtection="1">
      <alignment horizontal="center" vertical="center"/>
    </xf>
    <xf numFmtId="177" fontId="4" fillId="2" borderId="18" xfId="0" applyNumberFormat="1" applyFont="1" applyFill="1" applyBorder="1" applyAlignment="1">
      <alignment horizontal="center" vertical="center"/>
    </xf>
    <xf numFmtId="177" fontId="4" fillId="2" borderId="19" xfId="0" applyNumberFormat="1" applyFont="1" applyFill="1" applyBorder="1" applyAlignment="1">
      <alignment horizontal="center" vertical="center"/>
    </xf>
    <xf numFmtId="177" fontId="4" fillId="2" borderId="20" xfId="0" applyNumberFormat="1" applyFont="1" applyFill="1" applyBorder="1" applyAlignment="1">
      <alignment horizontal="center" vertical="center"/>
    </xf>
    <xf numFmtId="7" fontId="7" fillId="2" borderId="21" xfId="0" applyNumberFormat="1" applyFont="1" applyFill="1" applyBorder="1" applyAlignment="1" applyProtection="1">
      <alignment horizontal="center" vertical="center"/>
    </xf>
    <xf numFmtId="7" fontId="4" fillId="2" borderId="22" xfId="0" applyNumberFormat="1" applyFont="1" applyFill="1" applyBorder="1" applyAlignment="1" applyProtection="1">
      <alignment horizontal="center" vertical="center"/>
    </xf>
    <xf numFmtId="7" fontId="4" fillId="2" borderId="23" xfId="0" applyNumberFormat="1" applyFont="1" applyFill="1" applyBorder="1" applyAlignment="1" applyProtection="1">
      <alignment horizontal="center" vertical="center" wrapText="1"/>
    </xf>
    <xf numFmtId="176" fontId="6" fillId="2" borderId="24" xfId="0" applyNumberFormat="1" applyFont="1" applyFill="1" applyBorder="1" applyAlignment="1" applyProtection="1">
      <alignment horizontal="center" vertical="center"/>
    </xf>
    <xf numFmtId="177" fontId="4" fillId="2" borderId="25" xfId="0" applyNumberFormat="1" applyFont="1" applyFill="1" applyBorder="1" applyAlignment="1">
      <alignment horizontal="center" vertical="center"/>
    </xf>
    <xf numFmtId="177" fontId="4" fillId="2" borderId="26" xfId="0" applyNumberFormat="1" applyFont="1" applyFill="1" applyBorder="1" applyAlignment="1">
      <alignment horizontal="center" vertical="center"/>
    </xf>
    <xf numFmtId="177" fontId="4" fillId="2" borderId="27" xfId="0" applyNumberFormat="1" applyFont="1" applyFill="1" applyBorder="1" applyAlignment="1">
      <alignment horizontal="center" vertical="center"/>
    </xf>
    <xf numFmtId="7" fontId="7" fillId="2" borderId="28" xfId="0" applyNumberFormat="1" applyFont="1" applyFill="1" applyBorder="1" applyAlignment="1" applyProtection="1">
      <alignment horizontal="center" vertical="center"/>
    </xf>
    <xf numFmtId="7" fontId="4" fillId="2" borderId="28" xfId="0" applyNumberFormat="1" applyFont="1" applyFill="1" applyBorder="1" applyAlignment="1" applyProtection="1">
      <alignment horizontal="center" vertical="center"/>
    </xf>
    <xf numFmtId="7" fontId="4" fillId="2" borderId="29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685652"/>
      <color rgb="00F6F5F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"/>
  <sheetViews>
    <sheetView tabSelected="1" zoomScale="90" zoomScaleNormal="90" topLeftCell="A8" workbookViewId="0">
      <selection activeCell="M21" sqref="M21"/>
    </sheetView>
  </sheetViews>
  <sheetFormatPr defaultColWidth="8.89166666666667" defaultRowHeight="13.5"/>
  <cols>
    <col min="1" max="1" width="8.89166666666667" style="1"/>
    <col min="2" max="2" width="18.7416666666667" style="1" customWidth="1"/>
    <col min="3" max="3" width="13.475" style="1" customWidth="1"/>
    <col min="4" max="4" width="25.275" style="1" customWidth="1"/>
    <col min="5" max="5" width="16.8083333333333" style="1" customWidth="1"/>
    <col min="6" max="6" width="11.525" style="1" customWidth="1"/>
    <col min="7" max="7" width="13.3333333333333" style="1" customWidth="1"/>
    <col min="8" max="8" width="11.525" style="1" customWidth="1"/>
    <col min="9" max="9" width="16.5333333333333" style="1" customWidth="1"/>
    <col min="10" max="10" width="11.3833333333333" style="1" customWidth="1"/>
    <col min="11" max="11" width="14.025" style="1" customWidth="1"/>
    <col min="12" max="12" width="17.775" style="1" customWidth="1"/>
    <col min="13" max="13" width="13.7416666666667" style="1" customWidth="1"/>
    <col min="14" max="14" width="12.775" style="1" customWidth="1"/>
    <col min="15" max="15" width="10.6083333333333" style="1" customWidth="1"/>
    <col min="16" max="16" width="15.775" style="1" customWidth="1"/>
    <col min="17" max="17" width="16.175" style="1" customWidth="1"/>
    <col min="18" max="16384" width="8.89166666666667" style="1"/>
  </cols>
  <sheetData>
    <row r="1" ht="44" customHeight="1" spans="1:17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ht="10" customHeight="1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21" customHeight="1" spans="1:17">
      <c r="B3" s="3" t="s">
        <v>1</v>
      </c>
      <c r="C3" s="4" t="s">
        <v>2</v>
      </c>
      <c r="D3" s="4"/>
      <c r="E3" s="4"/>
      <c r="F3" s="5" t="s">
        <v>3</v>
      </c>
      <c r="G3" s="6"/>
      <c r="H3" s="6"/>
      <c r="I3" s="7"/>
      <c r="J3" s="8" t="s">
        <v>4</v>
      </c>
      <c r="K3" s="8"/>
      <c r="L3" s="8"/>
      <c r="M3" s="8"/>
      <c r="N3" s="8" t="s">
        <v>5</v>
      </c>
      <c r="O3" s="8" t="s">
        <v>6</v>
      </c>
      <c r="P3" s="8" t="s">
        <v>7</v>
      </c>
      <c r="Q3" s="9" t="s">
        <v>8</v>
      </c>
    </row>
    <row r="4" ht="22" customHeight="1" spans="1:17">
      <c r="B4" s="10"/>
      <c r="C4" s="11" t="s">
        <v>9</v>
      </c>
      <c r="D4" s="12" t="s">
        <v>10</v>
      </c>
      <c r="E4" s="13" t="s">
        <v>11</v>
      </c>
      <c r="F4" s="14" t="s">
        <v>12</v>
      </c>
      <c r="G4" s="14" t="s">
        <v>13</v>
      </c>
      <c r="H4" s="15" t="s">
        <v>14</v>
      </c>
      <c r="I4" s="15" t="s">
        <v>15</v>
      </c>
      <c r="J4" s="15" t="s">
        <v>12</v>
      </c>
      <c r="K4" s="15" t="s">
        <v>13</v>
      </c>
      <c r="L4" s="15" t="s">
        <v>14</v>
      </c>
      <c r="M4" s="16" t="s">
        <v>15</v>
      </c>
      <c r="N4" s="15"/>
      <c r="O4" s="15"/>
      <c r="P4" s="15"/>
      <c r="Q4" s="17"/>
    </row>
    <row r="5" ht="30" customHeight="1" spans="1:17">
      <c r="B5" s="18">
        <v>45891</v>
      </c>
      <c r="C5" s="19" t="s">
        <v>16</v>
      </c>
      <c r="D5" s="20" t="s">
        <v>17</v>
      </c>
      <c r="E5" s="21" t="s">
        <v>18</v>
      </c>
      <c r="F5" s="22"/>
      <c r="G5" s="23"/>
      <c r="H5" s="24">
        <v>4199</v>
      </c>
      <c r="I5" s="18">
        <v>45905</v>
      </c>
      <c r="J5" s="24"/>
      <c r="K5" s="23"/>
      <c r="L5" s="24">
        <v>3400</v>
      </c>
      <c r="M5" s="23">
        <v>45891</v>
      </c>
      <c r="N5" s="24">
        <f>F5+H5</f>
        <v>4199</v>
      </c>
      <c r="O5" s="24">
        <f>J5+L5</f>
        <v>3400</v>
      </c>
      <c r="P5" s="24">
        <f>N5-O5</f>
        <v>799</v>
      </c>
      <c r="Q5" s="25"/>
    </row>
    <row r="6" ht="30" customHeight="1" spans="1:17">
      <c r="B6" s="23">
        <v>45891</v>
      </c>
      <c r="C6" s="26" t="s">
        <v>16</v>
      </c>
      <c r="D6" s="20" t="s">
        <v>19</v>
      </c>
      <c r="E6" s="21" t="s">
        <v>20</v>
      </c>
      <c r="F6" s="27"/>
      <c r="G6" s="23"/>
      <c r="H6" s="28">
        <v>5700</v>
      </c>
      <c r="I6" s="18">
        <v>45936</v>
      </c>
      <c r="J6" s="28"/>
      <c r="K6" s="23"/>
      <c r="L6" s="28">
        <v>5400</v>
      </c>
      <c r="M6" s="23">
        <v>45891</v>
      </c>
      <c r="N6" s="24">
        <f t="shared" ref="N6:N29" si="0">F6+H6</f>
        <v>5700</v>
      </c>
      <c r="O6" s="24">
        <f t="shared" ref="O6:O30" si="1">J6+L6</f>
        <v>5400</v>
      </c>
      <c r="P6" s="24">
        <f t="shared" ref="P6:P29" si="2">N6-O6</f>
        <v>300</v>
      </c>
      <c r="Q6" s="29" t="s">
        <v>21</v>
      </c>
    </row>
    <row r="7" s="1" customFormat="1" ht="30" customHeight="1" spans="1:17">
      <c r="B7" s="23">
        <v>45893</v>
      </c>
      <c r="C7" s="30" t="s">
        <v>16</v>
      </c>
      <c r="D7" s="20" t="s">
        <v>22</v>
      </c>
      <c r="E7" s="21" t="s">
        <v>20</v>
      </c>
      <c r="F7" s="22"/>
      <c r="G7" s="23"/>
      <c r="H7" s="24">
        <v>5500</v>
      </c>
      <c r="I7" s="18">
        <v>45893</v>
      </c>
      <c r="J7" s="24"/>
      <c r="K7" s="23"/>
      <c r="L7" s="24">
        <v>5200</v>
      </c>
      <c r="M7" s="23">
        <v>45893</v>
      </c>
      <c r="N7" s="24">
        <f t="shared" si="0"/>
        <v>5500</v>
      </c>
      <c r="O7" s="24">
        <f t="shared" si="1"/>
        <v>5200</v>
      </c>
      <c r="P7" s="24">
        <f t="shared" si="2"/>
        <v>300</v>
      </c>
      <c r="Q7" s="25"/>
    </row>
    <row r="8" s="1" customFormat="1" ht="30" customHeight="1" spans="1:17">
      <c r="B8" s="23">
        <v>45901</v>
      </c>
      <c r="C8" s="30" t="s">
        <v>23</v>
      </c>
      <c r="D8" s="30"/>
      <c r="E8" s="30" t="s">
        <v>24</v>
      </c>
      <c r="F8" s="22"/>
      <c r="G8" s="23"/>
      <c r="H8" s="24"/>
      <c r="I8" s="18"/>
      <c r="J8" s="24"/>
      <c r="K8" s="23"/>
      <c r="L8" s="24">
        <v>3500</v>
      </c>
      <c r="M8" s="23">
        <v>45901</v>
      </c>
      <c r="N8" s="24">
        <f t="shared" si="0"/>
        <v>0</v>
      </c>
      <c r="O8" s="24">
        <f t="shared" si="1"/>
        <v>3500</v>
      </c>
      <c r="P8" s="24">
        <f t="shared" si="2"/>
        <v>-3500</v>
      </c>
      <c r="Q8" s="25"/>
    </row>
    <row r="9" s="1" customFormat="1" ht="30" customHeight="1" spans="1:17">
      <c r="B9" s="23">
        <v>45903</v>
      </c>
      <c r="C9" s="26" t="s">
        <v>25</v>
      </c>
      <c r="D9" s="26" t="s">
        <v>26</v>
      </c>
      <c r="E9" s="26" t="s">
        <v>24</v>
      </c>
      <c r="F9" s="27"/>
      <c r="G9" s="23"/>
      <c r="H9" s="28"/>
      <c r="I9" s="18"/>
      <c r="J9" s="28"/>
      <c r="K9" s="23"/>
      <c r="L9" s="28">
        <v>2300</v>
      </c>
      <c r="M9" s="23">
        <v>45903</v>
      </c>
      <c r="N9" s="24">
        <f t="shared" si="0"/>
        <v>0</v>
      </c>
      <c r="O9" s="24">
        <f t="shared" si="1"/>
        <v>2300</v>
      </c>
      <c r="P9" s="24">
        <f t="shared" si="2"/>
        <v>-2300</v>
      </c>
      <c r="Q9" s="29"/>
    </row>
    <row r="10" s="1" customFormat="1" ht="30" customHeight="1" spans="1:17">
      <c r="B10" s="23">
        <v>45910</v>
      </c>
      <c r="C10" s="30" t="s">
        <v>27</v>
      </c>
      <c r="D10" s="30"/>
      <c r="E10" s="30" t="s">
        <v>24</v>
      </c>
      <c r="F10" s="22"/>
      <c r="G10" s="23"/>
      <c r="H10" s="24"/>
      <c r="I10" s="18"/>
      <c r="J10" s="24"/>
      <c r="K10" s="23"/>
      <c r="L10" s="24">
        <v>255</v>
      </c>
      <c r="M10" s="23">
        <v>45910</v>
      </c>
      <c r="N10" s="24">
        <f t="shared" si="0"/>
        <v>0</v>
      </c>
      <c r="O10" s="24">
        <f t="shared" si="1"/>
        <v>255</v>
      </c>
      <c r="P10" s="24">
        <f t="shared" si="2"/>
        <v>-255</v>
      </c>
      <c r="Q10" s="25"/>
    </row>
    <row r="11" s="1" customFormat="1" ht="30" customHeight="1" spans="1:17">
      <c r="B11" s="23">
        <v>45910</v>
      </c>
      <c r="C11" s="26" t="s">
        <v>28</v>
      </c>
      <c r="D11" s="20" t="s">
        <v>29</v>
      </c>
      <c r="E11" s="26" t="s">
        <v>24</v>
      </c>
      <c r="F11" s="27"/>
      <c r="G11" s="23"/>
      <c r="H11" s="28"/>
      <c r="I11" s="18"/>
      <c r="J11" s="28"/>
      <c r="K11" s="23"/>
      <c r="L11" s="28">
        <v>150</v>
      </c>
      <c r="M11" s="23">
        <v>45910</v>
      </c>
      <c r="N11" s="24">
        <f t="shared" si="0"/>
        <v>0</v>
      </c>
      <c r="O11" s="24">
        <f t="shared" si="1"/>
        <v>150</v>
      </c>
      <c r="P11" s="24">
        <f t="shared" si="2"/>
        <v>-150</v>
      </c>
      <c r="Q11" s="29"/>
    </row>
    <row r="12" s="1" customFormat="1" ht="30" customHeight="1" spans="1:17">
      <c r="B12" s="23">
        <v>45916</v>
      </c>
      <c r="C12" s="30" t="s">
        <v>30</v>
      </c>
      <c r="D12" s="20" t="s">
        <v>31</v>
      </c>
      <c r="E12" s="30" t="s">
        <v>24</v>
      </c>
      <c r="F12" s="22"/>
      <c r="G12" s="23"/>
      <c r="H12" s="24"/>
      <c r="I12" s="18"/>
      <c r="J12" s="24"/>
      <c r="K12" s="23"/>
      <c r="L12" s="24">
        <v>1670</v>
      </c>
      <c r="M12" s="23">
        <v>45916</v>
      </c>
      <c r="N12" s="24">
        <f t="shared" si="0"/>
        <v>0</v>
      </c>
      <c r="O12" s="24">
        <f t="shared" si="1"/>
        <v>1670</v>
      </c>
      <c r="P12" s="24">
        <f t="shared" si="2"/>
        <v>-1670</v>
      </c>
      <c r="Q12" s="25"/>
    </row>
    <row r="13" s="1" customFormat="1" ht="30" customHeight="1" spans="1:17">
      <c r="B13" s="23">
        <v>45917</v>
      </c>
      <c r="C13" s="26" t="s">
        <v>32</v>
      </c>
      <c r="D13" s="26"/>
      <c r="E13" s="26" t="s">
        <v>24</v>
      </c>
      <c r="F13" s="27"/>
      <c r="G13" s="23"/>
      <c r="H13" s="28"/>
      <c r="I13" s="18"/>
      <c r="J13" s="28"/>
      <c r="K13" s="23"/>
      <c r="L13" s="28">
        <v>100</v>
      </c>
      <c r="M13" s="23">
        <v>45917</v>
      </c>
      <c r="N13" s="24">
        <f t="shared" si="0"/>
        <v>0</v>
      </c>
      <c r="O13" s="24">
        <f t="shared" si="1"/>
        <v>100</v>
      </c>
      <c r="P13" s="24">
        <f t="shared" si="2"/>
        <v>-100</v>
      </c>
      <c r="Q13" s="29"/>
    </row>
    <row r="14" s="1" customFormat="1" ht="30" customHeight="1" spans="1:17">
      <c r="B14" s="23">
        <v>45918</v>
      </c>
      <c r="C14" s="20" t="s">
        <v>16</v>
      </c>
      <c r="D14" s="20" t="s">
        <v>33</v>
      </c>
      <c r="E14" s="30" t="s">
        <v>34</v>
      </c>
      <c r="F14" s="22">
        <v>1000</v>
      </c>
      <c r="G14" s="23">
        <v>45918</v>
      </c>
      <c r="H14" s="24">
        <v>5299</v>
      </c>
      <c r="I14" s="18">
        <v>45945</v>
      </c>
      <c r="J14" s="22">
        <v>1000</v>
      </c>
      <c r="K14" s="23">
        <v>45918</v>
      </c>
      <c r="L14" s="24">
        <v>5000</v>
      </c>
      <c r="M14" s="23">
        <v>45945</v>
      </c>
      <c r="N14" s="24">
        <f t="shared" si="0"/>
        <v>6299</v>
      </c>
      <c r="O14" s="24">
        <f t="shared" si="1"/>
        <v>6000</v>
      </c>
      <c r="P14" s="24">
        <f t="shared" si="2"/>
        <v>299</v>
      </c>
      <c r="Q14" s="25" t="s">
        <v>35</v>
      </c>
    </row>
    <row r="15" s="1" customFormat="1" ht="30" customHeight="1" spans="1:17">
      <c r="B15" s="23">
        <v>45920</v>
      </c>
      <c r="C15" s="20" t="s">
        <v>16</v>
      </c>
      <c r="D15" s="20" t="s">
        <v>36</v>
      </c>
      <c r="E15" s="26" t="s">
        <v>37</v>
      </c>
      <c r="F15" s="22">
        <v>1000</v>
      </c>
      <c r="G15" s="23">
        <v>45920</v>
      </c>
      <c r="H15" s="28">
        <v>5299</v>
      </c>
      <c r="I15" s="18">
        <v>45953</v>
      </c>
      <c r="J15" s="22">
        <v>1000</v>
      </c>
      <c r="K15" s="23">
        <v>45920</v>
      </c>
      <c r="L15" s="28">
        <v>5000</v>
      </c>
      <c r="M15" s="18">
        <v>45953</v>
      </c>
      <c r="N15" s="24">
        <f t="shared" si="0"/>
        <v>6299</v>
      </c>
      <c r="O15" s="24">
        <f t="shared" si="1"/>
        <v>6000</v>
      </c>
      <c r="P15" s="24">
        <f t="shared" si="2"/>
        <v>299</v>
      </c>
      <c r="Q15" s="25" t="s">
        <v>35</v>
      </c>
    </row>
    <row r="16" s="1" customFormat="1" ht="30" customHeight="1" spans="1:17">
      <c r="B16" s="23">
        <v>45923</v>
      </c>
      <c r="C16" s="20" t="s">
        <v>16</v>
      </c>
      <c r="D16" s="20" t="s">
        <v>38</v>
      </c>
      <c r="E16" s="30" t="s">
        <v>39</v>
      </c>
      <c r="F16" s="22">
        <v>1000</v>
      </c>
      <c r="G16" s="23">
        <v>45923</v>
      </c>
      <c r="H16" s="24">
        <v>5299</v>
      </c>
      <c r="I16" s="18">
        <v>45953</v>
      </c>
      <c r="J16" s="22">
        <v>1000</v>
      </c>
      <c r="K16" s="23">
        <v>45923</v>
      </c>
      <c r="L16" s="28">
        <v>5000</v>
      </c>
      <c r="M16" s="18">
        <v>45953</v>
      </c>
      <c r="N16" s="24">
        <f t="shared" si="0"/>
        <v>6299</v>
      </c>
      <c r="O16" s="24">
        <f t="shared" si="1"/>
        <v>6000</v>
      </c>
      <c r="P16" s="24">
        <f t="shared" si="2"/>
        <v>299</v>
      </c>
      <c r="Q16" s="25" t="s">
        <v>35</v>
      </c>
    </row>
    <row r="17" s="1" customFormat="1" ht="30" customHeight="1" spans="2:17">
      <c r="B17" s="23">
        <v>45923</v>
      </c>
      <c r="C17" s="26" t="s">
        <v>40</v>
      </c>
      <c r="D17" s="26"/>
      <c r="E17" s="26" t="s">
        <v>24</v>
      </c>
      <c r="F17" s="27"/>
      <c r="G17" s="23"/>
      <c r="H17" s="28"/>
      <c r="I17" s="18"/>
      <c r="J17" s="28"/>
      <c r="K17" s="23"/>
      <c r="L17" s="28">
        <v>110</v>
      </c>
      <c r="M17" s="23">
        <v>45923</v>
      </c>
      <c r="N17" s="24">
        <f t="shared" si="0"/>
        <v>0</v>
      </c>
      <c r="O17" s="24">
        <f t="shared" si="1"/>
        <v>110</v>
      </c>
      <c r="P17" s="24">
        <f t="shared" si="2"/>
        <v>-110</v>
      </c>
      <c r="Q17" s="25"/>
    </row>
    <row r="18" s="1" customFormat="1" ht="30" customHeight="1" spans="2:17">
      <c r="B18" s="23">
        <v>45927</v>
      </c>
      <c r="C18" s="20" t="s">
        <v>16</v>
      </c>
      <c r="D18" s="20" t="s">
        <v>41</v>
      </c>
      <c r="E18" s="26" t="s">
        <v>42</v>
      </c>
      <c r="F18" s="22">
        <v>1000</v>
      </c>
      <c r="G18" s="23">
        <v>45927</v>
      </c>
      <c r="H18" s="31">
        <v>5599</v>
      </c>
      <c r="I18" s="32">
        <v>45956</v>
      </c>
      <c r="J18" s="22">
        <v>1000</v>
      </c>
      <c r="K18" s="23">
        <v>45927</v>
      </c>
      <c r="L18" s="31">
        <v>5000</v>
      </c>
      <c r="M18" s="33">
        <v>45956</v>
      </c>
      <c r="N18" s="24">
        <f t="shared" si="0"/>
        <v>6599</v>
      </c>
      <c r="O18" s="24">
        <f t="shared" si="1"/>
        <v>6000</v>
      </c>
      <c r="P18" s="24">
        <f t="shared" si="2"/>
        <v>599</v>
      </c>
      <c r="Q18" s="34" t="s">
        <v>43</v>
      </c>
    </row>
    <row r="19" s="1" customFormat="1" ht="30" customHeight="1" spans="2:17">
      <c r="B19" s="23">
        <v>45928</v>
      </c>
      <c r="C19" s="20" t="s">
        <v>16</v>
      </c>
      <c r="D19" s="20" t="s">
        <v>36</v>
      </c>
      <c r="E19" s="26" t="s">
        <v>20</v>
      </c>
      <c r="F19" s="22">
        <v>1000</v>
      </c>
      <c r="G19" s="23">
        <v>45928</v>
      </c>
      <c r="H19" s="31">
        <v>5299</v>
      </c>
      <c r="I19" s="32">
        <v>45956</v>
      </c>
      <c r="J19" s="22">
        <v>1000</v>
      </c>
      <c r="K19" s="23">
        <v>45928</v>
      </c>
      <c r="L19" s="31">
        <v>5000</v>
      </c>
      <c r="M19" s="33">
        <v>45956</v>
      </c>
      <c r="N19" s="24">
        <f t="shared" si="0"/>
        <v>6299</v>
      </c>
      <c r="O19" s="24">
        <f t="shared" si="1"/>
        <v>6000</v>
      </c>
      <c r="P19" s="24">
        <f t="shared" si="2"/>
        <v>299</v>
      </c>
      <c r="Q19" s="25"/>
    </row>
    <row r="20" s="1" customFormat="1" ht="30" customHeight="1" spans="2:17">
      <c r="B20" s="23">
        <v>45931</v>
      </c>
      <c r="C20" s="26" t="s">
        <v>44</v>
      </c>
      <c r="D20" s="26"/>
      <c r="E20" s="26" t="s">
        <v>24</v>
      </c>
      <c r="F20" s="22"/>
      <c r="G20" s="23"/>
      <c r="H20" s="24"/>
      <c r="I20" s="18"/>
      <c r="J20" s="24"/>
      <c r="K20" s="23"/>
      <c r="L20" s="24">
        <v>200</v>
      </c>
      <c r="M20" s="23">
        <v>45931</v>
      </c>
      <c r="N20" s="24">
        <f t="shared" si="0"/>
        <v>0</v>
      </c>
      <c r="O20" s="24">
        <f t="shared" si="1"/>
        <v>200</v>
      </c>
      <c r="P20" s="24">
        <f t="shared" si="2"/>
        <v>-200</v>
      </c>
      <c r="Q20" s="25"/>
    </row>
    <row r="21" s="1" customFormat="1" ht="30" customHeight="1" spans="2:17">
      <c r="B21" s="23">
        <v>45936</v>
      </c>
      <c r="C21" s="26" t="s">
        <v>16</v>
      </c>
      <c r="D21" s="20" t="s">
        <v>36</v>
      </c>
      <c r="E21" s="26" t="s">
        <v>45</v>
      </c>
      <c r="F21" s="27">
        <v>1000</v>
      </c>
      <c r="G21" s="23">
        <v>45936</v>
      </c>
      <c r="H21" s="28"/>
      <c r="I21" s="18"/>
      <c r="J21" s="28">
        <v>1000</v>
      </c>
      <c r="K21" s="23">
        <v>45936</v>
      </c>
      <c r="L21" s="28">
        <v>0</v>
      </c>
      <c r="M21" s="23"/>
      <c r="N21" s="24">
        <f t="shared" si="0"/>
        <v>1000</v>
      </c>
      <c r="O21" s="24">
        <f t="shared" si="1"/>
        <v>1000</v>
      </c>
      <c r="P21" s="24">
        <f t="shared" si="2"/>
        <v>0</v>
      </c>
      <c r="Q21" s="25"/>
    </row>
    <row r="22" s="1" customFormat="1" ht="30" customHeight="1" spans="2:17">
      <c r="B22" s="23">
        <v>45936</v>
      </c>
      <c r="C22" s="26" t="s">
        <v>16</v>
      </c>
      <c r="D22" s="20" t="s">
        <v>46</v>
      </c>
      <c r="E22" s="26" t="s">
        <v>47</v>
      </c>
      <c r="F22" s="27">
        <v>6199</v>
      </c>
      <c r="G22" s="23">
        <v>45936</v>
      </c>
      <c r="H22" s="28">
        <v>-2300</v>
      </c>
      <c r="I22" s="18">
        <v>45944</v>
      </c>
      <c r="J22" s="28">
        <v>1000</v>
      </c>
      <c r="K22" s="23">
        <v>45936</v>
      </c>
      <c r="L22" s="28">
        <v>2000</v>
      </c>
      <c r="M22" s="23">
        <v>45943</v>
      </c>
      <c r="N22" s="24">
        <f t="shared" si="0"/>
        <v>3899</v>
      </c>
      <c r="O22" s="24">
        <f t="shared" si="1"/>
        <v>3000</v>
      </c>
      <c r="P22" s="24">
        <f t="shared" si="2"/>
        <v>899</v>
      </c>
      <c r="Q22" s="25"/>
    </row>
    <row r="23" s="1" customFormat="1" ht="30" customHeight="1" spans="2:17">
      <c r="B23" s="23">
        <v>45942</v>
      </c>
      <c r="C23" s="26" t="s">
        <v>16</v>
      </c>
      <c r="D23" s="26" t="s">
        <v>48</v>
      </c>
      <c r="E23" s="26" t="s">
        <v>20</v>
      </c>
      <c r="F23" s="22">
        <v>500</v>
      </c>
      <c r="G23" s="23">
        <v>45942</v>
      </c>
      <c r="H23" s="24">
        <v>5800</v>
      </c>
      <c r="I23" s="18">
        <v>45978</v>
      </c>
      <c r="J23" s="24">
        <v>500</v>
      </c>
      <c r="K23" s="23">
        <v>45942</v>
      </c>
      <c r="L23" s="24">
        <v>5500</v>
      </c>
      <c r="M23" s="23">
        <v>45947</v>
      </c>
      <c r="N23" s="24">
        <f t="shared" si="0"/>
        <v>6300</v>
      </c>
      <c r="O23" s="24">
        <f t="shared" si="1"/>
        <v>6000</v>
      </c>
      <c r="P23" s="24">
        <f t="shared" si="2"/>
        <v>300</v>
      </c>
      <c r="Q23" s="25"/>
    </row>
    <row r="24" s="1" customFormat="1" ht="30" customHeight="1" spans="2:17">
      <c r="B24" s="23">
        <v>45942</v>
      </c>
      <c r="C24" s="26" t="s">
        <v>16</v>
      </c>
      <c r="D24" s="26" t="s">
        <v>19</v>
      </c>
      <c r="E24" s="26" t="s">
        <v>20</v>
      </c>
      <c r="F24" s="27">
        <v>500</v>
      </c>
      <c r="G24" s="23">
        <v>45942</v>
      </c>
      <c r="H24" s="27"/>
      <c r="I24" s="18"/>
      <c r="J24" s="27">
        <v>500</v>
      </c>
      <c r="K24" s="23">
        <v>45942</v>
      </c>
      <c r="L24" s="27"/>
      <c r="M24" s="23"/>
      <c r="N24" s="24"/>
      <c r="O24" s="24"/>
      <c r="P24" s="24"/>
      <c r="Q24" s="25"/>
    </row>
    <row r="25" s="1" customFormat="1" ht="30" customHeight="1" spans="2:17">
      <c r="B25" s="23">
        <v>45947</v>
      </c>
      <c r="C25" s="26" t="s">
        <v>16</v>
      </c>
      <c r="D25" s="26" t="s">
        <v>19</v>
      </c>
      <c r="E25" s="26" t="s">
        <v>20</v>
      </c>
      <c r="F25" s="27">
        <v>500</v>
      </c>
      <c r="G25" s="23">
        <v>45947</v>
      </c>
      <c r="H25" s="27"/>
      <c r="I25" s="18"/>
      <c r="J25" s="27">
        <v>500</v>
      </c>
      <c r="K25" s="23">
        <v>45947</v>
      </c>
      <c r="L25" s="27"/>
      <c r="M25" s="23"/>
      <c r="N25" s="24">
        <f>F25+H25</f>
        <v>500</v>
      </c>
      <c r="O25" s="24">
        <f>J25+L25</f>
        <v>500</v>
      </c>
      <c r="P25" s="24">
        <f>N25-O25</f>
        <v>0</v>
      </c>
      <c r="Q25" s="25"/>
    </row>
    <row r="26" s="1" customFormat="1" ht="30" customHeight="1" spans="2:17">
      <c r="B26" s="23">
        <v>45977</v>
      </c>
      <c r="C26" s="26" t="s">
        <v>44</v>
      </c>
      <c r="D26" s="26"/>
      <c r="E26" s="26" t="s">
        <v>24</v>
      </c>
      <c r="F26" s="27"/>
      <c r="G26" s="23"/>
      <c r="H26" s="27"/>
      <c r="I26" s="18"/>
      <c r="J26" s="27"/>
      <c r="K26" s="23"/>
      <c r="L26" s="27">
        <v>500</v>
      </c>
      <c r="M26" s="23">
        <v>45977</v>
      </c>
      <c r="N26" s="24">
        <f>F26+H26</f>
        <v>0</v>
      </c>
      <c r="O26" s="24">
        <f>J26+L26</f>
        <v>500</v>
      </c>
      <c r="P26" s="24">
        <f>N26-O26</f>
        <v>-500</v>
      </c>
      <c r="Q26" s="25"/>
    </row>
    <row r="27" s="1" customFormat="1" ht="30" customHeight="1" spans="2:17">
      <c r="B27" s="23">
        <v>45977</v>
      </c>
      <c r="C27" s="26" t="s">
        <v>16</v>
      </c>
      <c r="D27" s="26" t="s">
        <v>49</v>
      </c>
      <c r="E27" s="26" t="s">
        <v>50</v>
      </c>
      <c r="F27" s="27">
        <v>1000</v>
      </c>
      <c r="G27" s="23">
        <v>45977</v>
      </c>
      <c r="H27" s="27"/>
      <c r="I27" s="18"/>
      <c r="J27" s="27">
        <v>1000</v>
      </c>
      <c r="K27" s="23">
        <v>45977</v>
      </c>
      <c r="L27" s="27"/>
      <c r="M27" s="23"/>
      <c r="N27" s="24">
        <f>F27+H27</f>
        <v>1000</v>
      </c>
      <c r="O27" s="24">
        <f>J27+L27</f>
        <v>1000</v>
      </c>
      <c r="P27" s="24">
        <f>N27-O27</f>
        <v>0</v>
      </c>
      <c r="Q27" s="25"/>
    </row>
    <row r="28" s="1" customFormat="1" ht="30" customHeight="1" spans="2:17">
      <c r="B28" s="23"/>
      <c r="C28" s="26"/>
      <c r="D28" s="26"/>
      <c r="E28" s="26"/>
      <c r="F28" s="27"/>
      <c r="G28" s="23"/>
      <c r="H28" s="27"/>
      <c r="I28" s="18"/>
      <c r="J28" s="27"/>
      <c r="K28" s="23"/>
      <c r="L28" s="27"/>
      <c r="M28" s="23"/>
      <c r="N28" s="24">
        <f>F28+H28</f>
        <v>0</v>
      </c>
      <c r="O28" s="24">
        <f>J28+L28</f>
        <v>0</v>
      </c>
      <c r="P28" s="24">
        <f>N28-O28</f>
        <v>0</v>
      </c>
      <c r="Q28" s="25"/>
    </row>
    <row r="29" s="1" customFormat="1" ht="30" customHeight="1" spans="2:17">
      <c r="B29" s="23"/>
      <c r="C29" s="26"/>
      <c r="D29" s="26"/>
      <c r="E29" s="26"/>
      <c r="F29" s="27"/>
      <c r="G29" s="23"/>
      <c r="H29" s="27"/>
      <c r="I29" s="18"/>
      <c r="J29" s="27"/>
      <c r="K29" s="23"/>
      <c r="L29" s="27"/>
      <c r="M29" s="23"/>
      <c r="N29" s="24"/>
      <c r="O29" s="24"/>
      <c r="P29" s="24"/>
      <c r="Q29" s="25"/>
    </row>
    <row r="30" s="1" customFormat="1" ht="30" customHeight="1" spans="2:17">
      <c r="B30" s="23"/>
      <c r="C30" s="26"/>
      <c r="D30" s="26"/>
      <c r="E30" s="26"/>
      <c r="F30" s="27"/>
      <c r="G30" s="23"/>
      <c r="H30" s="27"/>
      <c r="I30" s="18"/>
      <c r="J30" s="27"/>
      <c r="K30" s="23"/>
      <c r="L30" s="27"/>
      <c r="M30" s="23"/>
      <c r="N30" s="24"/>
      <c r="O30" s="24"/>
      <c r="P30" s="24"/>
      <c r="Q30" s="25"/>
    </row>
    <row r="31" s="1" customFormat="1" ht="30" customHeight="1" spans="2:17">
      <c r="B31" s="23"/>
      <c r="C31" s="26"/>
      <c r="D31" s="26"/>
      <c r="E31" s="26"/>
      <c r="F31" s="27"/>
      <c r="G31" s="23"/>
      <c r="H31" s="27"/>
      <c r="I31" s="18"/>
      <c r="J31" s="27"/>
      <c r="K31" s="23"/>
      <c r="L31" s="27"/>
      <c r="M31" s="23"/>
      <c r="N31" s="24"/>
      <c r="O31" s="24"/>
      <c r="P31" s="24"/>
      <c r="Q31" s="25"/>
    </row>
    <row r="32" s="1" customFormat="1" ht="30" customHeight="1" spans="2:17">
      <c r="B32" s="23"/>
      <c r="C32" s="26"/>
      <c r="D32" s="26"/>
      <c r="E32" s="26"/>
      <c r="F32" s="27"/>
      <c r="G32" s="23"/>
      <c r="H32" s="27"/>
      <c r="I32" s="18"/>
      <c r="J32" s="27"/>
      <c r="K32" s="23"/>
      <c r="L32" s="27"/>
      <c r="M32" s="23"/>
      <c r="N32" s="24"/>
      <c r="O32" s="24"/>
      <c r="P32" s="24"/>
      <c r="Q32" s="25"/>
    </row>
    <row r="33" s="1" customFormat="1" ht="30" customHeight="1" spans="2:17">
      <c r="B33" s="23"/>
      <c r="C33" s="26"/>
      <c r="D33" s="26"/>
      <c r="E33" s="26"/>
      <c r="F33" s="27"/>
      <c r="G33" s="23"/>
      <c r="H33" s="27"/>
      <c r="I33" s="18"/>
      <c r="J33" s="27"/>
      <c r="K33" s="23"/>
      <c r="L33" s="27"/>
      <c r="M33" s="23"/>
      <c r="N33" s="24"/>
      <c r="O33" s="24"/>
      <c r="P33" s="24"/>
      <c r="Q33" s="25"/>
    </row>
    <row r="34" s="1" customFormat="1" ht="30" customHeight="1" spans="2:17">
      <c r="B34" s="23"/>
      <c r="C34" s="26"/>
      <c r="D34" s="26"/>
      <c r="E34" s="26"/>
      <c r="F34" s="27"/>
      <c r="G34" s="23"/>
      <c r="H34" s="27"/>
      <c r="I34" s="18"/>
      <c r="J34" s="27"/>
      <c r="K34" s="23"/>
      <c r="L34" s="27"/>
      <c r="M34" s="23"/>
      <c r="N34" s="24">
        <f>F34+H34</f>
        <v>0</v>
      </c>
      <c r="O34" s="24">
        <f>J34+L34</f>
        <v>0</v>
      </c>
      <c r="P34" s="24">
        <f>N34-O34</f>
        <v>0</v>
      </c>
      <c r="Q34" s="25"/>
    </row>
    <row r="35" s="1" customFormat="1" ht="30" customHeight="1" spans="2:17">
      <c r="B35" s="23"/>
      <c r="C35" s="26"/>
      <c r="D35" s="26"/>
      <c r="E35" s="26"/>
      <c r="F35" s="27"/>
      <c r="G35" s="23"/>
      <c r="H35" s="27"/>
      <c r="I35" s="18"/>
      <c r="J35" s="27"/>
      <c r="K35" s="23"/>
      <c r="L35" s="27"/>
      <c r="M35" s="23"/>
      <c r="N35" s="24">
        <f>F35+H35</f>
        <v>0</v>
      </c>
      <c r="O35" s="24">
        <f>J35+L35</f>
        <v>0</v>
      </c>
      <c r="P35" s="24">
        <f>N35-O35</f>
        <v>0</v>
      </c>
      <c r="Q35" s="25"/>
    </row>
    <row r="36" customFormat="1" ht="28" customHeight="1" spans="2:17">
      <c r="B36" s="35" t="s">
        <v>51</v>
      </c>
      <c r="C36" s="36"/>
      <c r="D36" s="37"/>
      <c r="E36" s="38"/>
      <c r="F36" s="39">
        <f>SUM(F5:F35)</f>
        <v>14699</v>
      </c>
      <c r="G36" s="39"/>
      <c r="H36" s="39">
        <f>SUM(H5:H35)</f>
        <v>45694</v>
      </c>
      <c r="I36" s="39"/>
      <c r="J36" s="39">
        <f>SUM(J5:J35)</f>
        <v>9500</v>
      </c>
      <c r="K36" s="39"/>
      <c r="L36" s="39">
        <f>SUM(L5:L35)</f>
        <v>55285</v>
      </c>
      <c r="M36" s="39"/>
      <c r="N36" s="39">
        <f>SUM(N5:N35)</f>
        <v>59893</v>
      </c>
      <c r="O36" s="40">
        <f>J36+L36</f>
        <v>64785</v>
      </c>
      <c r="P36" s="39">
        <f>SUM(P5:P35)</f>
        <v>-4392</v>
      </c>
      <c r="Q36" s="41"/>
    </row>
    <row r="37" ht="28" customHeight="1" spans="2:17">
      <c r="B37" s="42"/>
      <c r="C37" s="43"/>
      <c r="D37" s="44"/>
      <c r="E37" s="45"/>
      <c r="F37" s="46"/>
      <c r="G37" s="46"/>
      <c r="H37" s="46"/>
      <c r="I37" s="46"/>
      <c r="J37" s="46"/>
      <c r="K37" s="46"/>
      <c r="L37" s="46"/>
      <c r="M37" s="46"/>
      <c r="N37" s="46"/>
      <c r="O37" s="47"/>
      <c r="P37" s="46"/>
      <c r="Q37" s="48"/>
    </row>
  </sheetData>
  <mergeCells count="20">
    <mergeCell ref="C3:E3"/>
    <mergeCell ref="F3:I3"/>
    <mergeCell ref="J3:M3"/>
    <mergeCell ref="B3:B4"/>
    <mergeCell ref="B36:B37"/>
    <mergeCell ref="F36:F37"/>
    <mergeCell ref="H36:H37"/>
    <mergeCell ref="I36:I37"/>
    <mergeCell ref="J36:J37"/>
    <mergeCell ref="L36:L37"/>
    <mergeCell ref="N3:N4"/>
    <mergeCell ref="N36:N37"/>
    <mergeCell ref="O3:O4"/>
    <mergeCell ref="O36:O37"/>
    <mergeCell ref="P3:P4"/>
    <mergeCell ref="P36:P37"/>
    <mergeCell ref="Q3:Q4"/>
    <mergeCell ref="Q36:Q37"/>
    <mergeCell ref="A1:Q2"/>
    <mergeCell ref="C36:E37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45546</dc:creator>
  <cp:lastModifiedBy>美丽的妲己</cp:lastModifiedBy>
  <dcterms:created xsi:type="dcterms:W3CDTF">2019-02-15T08:39:00Z</dcterms:created>
  <dcterms:modified xsi:type="dcterms:W3CDTF">2025-12-09T11:22:33Z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KSORubyTemplateID" linkTarget="0">
    <vt:lpwstr>14</vt:lpwstr>
  </property>
  <property fmtid="{D5CDD505-2E9C-101B-9397-08002B2CF9AE}" pid="4" name="ICV">
    <vt:lpwstr>209DA32E07B14462A53B779E9680C37B_12</vt:lpwstr>
  </property>
  <property fmtid="{D5CDD505-2E9C-101B-9397-08002B2CF9AE}" pid="5" name="CalculationRule">
    <vt:i4>0</vt:i4>
  </property>
</Properties>
</file>